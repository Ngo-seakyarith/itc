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 Oil Data" sheetId="1" state="visible" r:id="rId1"/>
  </sheets>
  <definedNames>
    <definedName name="_xlnm._FilterDatabase" localSheetId="0" hidden="1">'Engine Oil Data'!$A$1:$J$25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D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2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20" customWidth="1" min="5" max="5"/>
    <col width="18" customWidth="1" min="6" max="6"/>
    <col width="18" customWidth="1" min="7" max="7"/>
    <col width="20" customWidth="1" min="8" max="8"/>
    <col width="12" customWidth="1" min="9" max="9"/>
    <col width="18" customWidth="1" min="10" max="10"/>
  </cols>
  <sheetData>
    <row r="1">
      <c r="A1" s="1" t="inlineStr">
        <is>
          <t>Point Type</t>
        </is>
      </c>
      <c r="B1" s="1" t="inlineStr">
        <is>
          <t>T (K)</t>
        </is>
      </c>
      <c r="C1" s="1" t="inlineStr">
        <is>
          <t>rho (kg/m^3)</t>
        </is>
      </c>
      <c r="D1" s="1" t="inlineStr">
        <is>
          <t>cp (kJ/kg.K)</t>
        </is>
      </c>
      <c r="E1" s="1" t="inlineStr">
        <is>
          <t>mu x 10^2 (N.s/m^2)</t>
        </is>
      </c>
      <c r="F1" s="1" t="inlineStr">
        <is>
          <t>nu x 10^6 (m^2/s)</t>
        </is>
      </c>
      <c r="G1" s="1" t="inlineStr">
        <is>
          <t>k x 10^3 (W/m.K)</t>
        </is>
      </c>
      <c r="H1" s="1" t="inlineStr">
        <is>
          <t>alpha x 10^7 (m^2/s)</t>
        </is>
      </c>
      <c r="I1" s="1" t="inlineStr">
        <is>
          <t>Pr</t>
        </is>
      </c>
      <c r="J1" s="1" t="inlineStr">
        <is>
          <t>beta x 10^3 (K^-1)</t>
        </is>
      </c>
    </row>
    <row r="2">
      <c r="A2" t="inlineStr">
        <is>
          <t>Original</t>
        </is>
      </c>
      <c r="B2" s="2" t="n">
        <v>273</v>
      </c>
      <c r="C2" s="2" t="n">
        <v>899.1</v>
      </c>
      <c r="D2" s="3" t="n">
        <v>1.796</v>
      </c>
      <c r="E2" s="4" t="n">
        <v>385</v>
      </c>
      <c r="F2" s="2" t="n">
        <v>4280</v>
      </c>
      <c r="G2" s="2" t="n">
        <v>147</v>
      </c>
      <c r="H2" s="3" t="n">
        <v>0.91</v>
      </c>
      <c r="I2" s="5" t="n">
        <v>47000</v>
      </c>
      <c r="J2" s="4" t="n">
        <v>0.7</v>
      </c>
    </row>
    <row r="3">
      <c r="A3" s="6" t="inlineStr">
        <is>
          <t>Interpolated</t>
        </is>
      </c>
      <c r="B3" s="7">
        <f>(B2+B4)/2</f>
        <v/>
      </c>
      <c r="C3" s="7">
        <f>C2+($B3-$B2)*(C4-C2)/($B4-$B2)</f>
        <v/>
      </c>
      <c r="D3" s="8">
        <f>D2+($B3-$B2)*(D4-D2)/($B4-$B2)</f>
        <v/>
      </c>
      <c r="E3" s="9">
        <f>E2+($B3-$B2)*(E4-E2)/($B4-$B2)</f>
        <v/>
      </c>
      <c r="F3" s="7">
        <f>F2+($B3-$B2)*(F4-F2)/($B4-$B2)</f>
        <v/>
      </c>
      <c r="G3" s="7">
        <f>G2+($B3-$B2)*(G4-G2)/($B4-$B2)</f>
        <v/>
      </c>
      <c r="H3" s="8">
        <f>H2+($B3-$B2)*(H4-H2)/($B4-$B2)</f>
        <v/>
      </c>
      <c r="I3" s="10">
        <f>I2+($B3-$B2)*(I4-I2)/($B4-$B2)</f>
        <v/>
      </c>
      <c r="J3" s="9">
        <f>J2+($B3-$B2)*(J4-J2)/($B4-$B2)</f>
        <v/>
      </c>
    </row>
    <row r="4">
      <c r="A4" t="inlineStr">
        <is>
          <t>Original</t>
        </is>
      </c>
      <c r="B4" s="2" t="n">
        <v>280</v>
      </c>
      <c r="C4" s="2" t="n">
        <v>895.3</v>
      </c>
      <c r="D4" s="3" t="n">
        <v>1.827</v>
      </c>
      <c r="E4" s="4" t="n">
        <v>217</v>
      </c>
      <c r="F4" s="2" t="n">
        <v>2430</v>
      </c>
      <c r="G4" s="2" t="n">
        <v>144</v>
      </c>
      <c r="H4" s="3" t="n">
        <v>0.88</v>
      </c>
      <c r="I4" s="5" t="n">
        <v>27500</v>
      </c>
      <c r="J4" s="4" t="n">
        <v>0.7</v>
      </c>
    </row>
    <row r="5">
      <c r="A5" s="6" t="inlineStr">
        <is>
          <t>Interpolated</t>
        </is>
      </c>
      <c r="B5" s="7">
        <f>(B4+B6)/2</f>
        <v/>
      </c>
      <c r="C5" s="7">
        <f>C4+($B5-$B4)*(C6-C4)/($B6-$B4)</f>
        <v/>
      </c>
      <c r="D5" s="8">
        <f>D4+($B5-$B4)*(D6-D4)/($B6-$B4)</f>
        <v/>
      </c>
      <c r="E5" s="9">
        <f>E4+($B5-$B4)*(E6-E4)/($B6-$B4)</f>
        <v/>
      </c>
      <c r="F5" s="7">
        <f>F4+($B5-$B4)*(F6-F4)/($B6-$B4)</f>
        <v/>
      </c>
      <c r="G5" s="7">
        <f>G4+($B5-$B4)*(G6-G4)/($B6-$B4)</f>
        <v/>
      </c>
      <c r="H5" s="8">
        <f>H4+($B5-$B4)*(H6-H4)/($B6-$B4)</f>
        <v/>
      </c>
      <c r="I5" s="10">
        <f>I4+($B5-$B4)*(I6-I4)/($B6-$B4)</f>
        <v/>
      </c>
      <c r="J5" s="9">
        <f>J4+($B5-$B4)*(J6-J4)/($B6-$B4)</f>
        <v/>
      </c>
    </row>
    <row r="6">
      <c r="A6" t="inlineStr">
        <is>
          <t>Original</t>
        </is>
      </c>
      <c r="B6" s="2" t="n">
        <v>290</v>
      </c>
      <c r="C6" s="2" t="n">
        <v>890</v>
      </c>
      <c r="D6" s="3" t="n">
        <v>1.868</v>
      </c>
      <c r="E6" s="4" t="n">
        <v>99.90000000000001</v>
      </c>
      <c r="F6" s="2" t="n">
        <v>1120</v>
      </c>
      <c r="G6" s="2" t="n">
        <v>145</v>
      </c>
      <c r="H6" s="3" t="n">
        <v>0.872</v>
      </c>
      <c r="I6" s="5" t="n">
        <v>12900</v>
      </c>
      <c r="J6" s="4" t="n">
        <v>0.7</v>
      </c>
    </row>
    <row r="7">
      <c r="A7" s="6" t="inlineStr">
        <is>
          <t>Interpolated</t>
        </is>
      </c>
      <c r="B7" s="7">
        <f>(B6+B8)/2</f>
        <v/>
      </c>
      <c r="C7" s="7">
        <f>C6+($B7-$B6)*(C8-C6)/($B8-$B6)</f>
        <v/>
      </c>
      <c r="D7" s="8">
        <f>D6+($B7-$B6)*(D8-D6)/($B8-$B6)</f>
        <v/>
      </c>
      <c r="E7" s="9">
        <f>E6+($B7-$B6)*(E8-E6)/($B8-$B6)</f>
        <v/>
      </c>
      <c r="F7" s="7">
        <f>F6+($B7-$B6)*(F8-F6)/($B8-$B6)</f>
        <v/>
      </c>
      <c r="G7" s="7">
        <f>G6+($B7-$B6)*(G8-G6)/($B8-$B6)</f>
        <v/>
      </c>
      <c r="H7" s="8">
        <f>H6+($B7-$B6)*(H8-H6)/($B8-$B6)</f>
        <v/>
      </c>
      <c r="I7" s="10">
        <f>I6+($B7-$B6)*(I8-I6)/($B8-$B6)</f>
        <v/>
      </c>
      <c r="J7" s="9">
        <f>J6+($B7-$B6)*(J8-J6)/($B8-$B6)</f>
        <v/>
      </c>
    </row>
    <row r="8">
      <c r="A8" t="inlineStr">
        <is>
          <t>Original</t>
        </is>
      </c>
      <c r="B8" s="2" t="n">
        <v>300</v>
      </c>
      <c r="C8" s="2" t="n">
        <v>884.1</v>
      </c>
      <c r="D8" s="3" t="n">
        <v>1.909</v>
      </c>
      <c r="E8" s="4" t="n">
        <v>48.6</v>
      </c>
      <c r="F8" s="2" t="n">
        <v>550</v>
      </c>
      <c r="G8" s="2" t="n">
        <v>145</v>
      </c>
      <c r="H8" s="3" t="n">
        <v>0.859</v>
      </c>
      <c r="I8" s="5" t="n">
        <v>6400</v>
      </c>
      <c r="J8" s="4" t="n">
        <v>0.7</v>
      </c>
    </row>
    <row r="9">
      <c r="A9" s="6" t="inlineStr">
        <is>
          <t>Interpolated</t>
        </is>
      </c>
      <c r="B9" s="7">
        <f>(B8+B10)/2</f>
        <v/>
      </c>
      <c r="C9" s="7">
        <f>C8+($B9-$B8)*(C10-C8)/($B10-$B8)</f>
        <v/>
      </c>
      <c r="D9" s="8">
        <f>D8+($B9-$B8)*(D10-D8)/($B10-$B8)</f>
        <v/>
      </c>
      <c r="E9" s="9">
        <f>E8+($B9-$B8)*(E10-E8)/($B10-$B8)</f>
        <v/>
      </c>
      <c r="F9" s="7">
        <f>F8+($B9-$B8)*(F10-F8)/($B10-$B8)</f>
        <v/>
      </c>
      <c r="G9" s="7">
        <f>G8+($B9-$B8)*(G10-G8)/($B10-$B8)</f>
        <v/>
      </c>
      <c r="H9" s="8">
        <f>H8+($B9-$B8)*(H10-H8)/($B10-$B8)</f>
        <v/>
      </c>
      <c r="I9" s="10">
        <f>I8+($B9-$B8)*(I10-I8)/($B10-$B8)</f>
        <v/>
      </c>
      <c r="J9" s="9">
        <f>J8+($B9-$B8)*(J10-J8)/($B10-$B8)</f>
        <v/>
      </c>
    </row>
    <row r="10">
      <c r="A10" t="inlineStr">
        <is>
          <t>Original</t>
        </is>
      </c>
      <c r="B10" s="2" t="n">
        <v>310</v>
      </c>
      <c r="C10" s="2" t="n">
        <v>877.9</v>
      </c>
      <c r="D10" s="3" t="n">
        <v>1.951</v>
      </c>
      <c r="E10" s="4" t="n">
        <v>25.3</v>
      </c>
      <c r="F10" s="2" t="n">
        <v>288</v>
      </c>
      <c r="G10" s="2" t="n">
        <v>145</v>
      </c>
      <c r="H10" s="3" t="n">
        <v>0.847</v>
      </c>
      <c r="I10" s="5" t="n">
        <v>3400</v>
      </c>
      <c r="J10" s="4" t="n">
        <v>0.7</v>
      </c>
    </row>
    <row r="11">
      <c r="A11" s="6" t="inlineStr">
        <is>
          <t>Interpolated</t>
        </is>
      </c>
      <c r="B11" s="7">
        <f>(B10+B12)/2</f>
        <v/>
      </c>
      <c r="C11" s="7">
        <f>C10+($B11-$B10)*(C12-C10)/($B12-$B10)</f>
        <v/>
      </c>
      <c r="D11" s="8">
        <f>D10+($B11-$B10)*(D12-D10)/($B12-$B10)</f>
        <v/>
      </c>
      <c r="E11" s="9">
        <f>E10+($B11-$B10)*(E12-E10)/($B12-$B10)</f>
        <v/>
      </c>
      <c r="F11" s="7">
        <f>F10+($B11-$B10)*(F12-F10)/($B12-$B10)</f>
        <v/>
      </c>
      <c r="G11" s="7">
        <f>G10+($B11-$B10)*(G12-G10)/($B12-$B10)</f>
        <v/>
      </c>
      <c r="H11" s="8">
        <f>H10+($B11-$B10)*(H12-H10)/($B12-$B10)</f>
        <v/>
      </c>
      <c r="I11" s="10">
        <f>I10+($B11-$B10)*(I12-I10)/($B12-$B10)</f>
        <v/>
      </c>
      <c r="J11" s="9">
        <f>J10+($B11-$B10)*(J12-J10)/($B12-$B10)</f>
        <v/>
      </c>
    </row>
    <row r="12">
      <c r="A12" t="inlineStr">
        <is>
          <t>Original</t>
        </is>
      </c>
      <c r="B12" s="2" t="n">
        <v>320</v>
      </c>
      <c r="C12" s="2" t="n">
        <v>871.8</v>
      </c>
      <c r="D12" s="3" t="n">
        <v>1.993</v>
      </c>
      <c r="E12" s="4" t="n">
        <v>14.1</v>
      </c>
      <c r="F12" s="2" t="n">
        <v>161</v>
      </c>
      <c r="G12" s="2" t="n">
        <v>143</v>
      </c>
      <c r="H12" s="3" t="n">
        <v>0.823</v>
      </c>
      <c r="I12" s="5" t="n">
        <v>1965</v>
      </c>
      <c r="J12" s="4" t="n">
        <v>0.7</v>
      </c>
    </row>
    <row r="13">
      <c r="A13" s="6" t="inlineStr">
        <is>
          <t>Interpolated</t>
        </is>
      </c>
      <c r="B13" s="7">
        <f>(B12+B14)/2</f>
        <v/>
      </c>
      <c r="C13" s="7">
        <f>C12+($B13-$B12)*(C14-C12)/($B14-$B12)</f>
        <v/>
      </c>
      <c r="D13" s="8">
        <f>D12+($B13-$B12)*(D14-D12)/($B14-$B12)</f>
        <v/>
      </c>
      <c r="E13" s="9">
        <f>E12+($B13-$B12)*(E14-E12)/($B14-$B12)</f>
        <v/>
      </c>
      <c r="F13" s="7">
        <f>F12+($B13-$B12)*(F14-F12)/($B14-$B12)</f>
        <v/>
      </c>
      <c r="G13" s="7">
        <f>G12+($B13-$B12)*(G14-G12)/($B14-$B12)</f>
        <v/>
      </c>
      <c r="H13" s="8">
        <f>H12+($B13-$B12)*(H14-H12)/($B14-$B12)</f>
        <v/>
      </c>
      <c r="I13" s="10">
        <f>I12+($B13-$B12)*(I14-I12)/($B14-$B12)</f>
        <v/>
      </c>
      <c r="J13" s="9">
        <f>J12+($B13-$B12)*(J14-J12)/($B14-$B12)</f>
        <v/>
      </c>
    </row>
    <row r="14">
      <c r="A14" t="inlineStr">
        <is>
          <t>Original</t>
        </is>
      </c>
      <c r="B14" s="2" t="n">
        <v>330</v>
      </c>
      <c r="C14" s="2" t="n">
        <v>865.8</v>
      </c>
      <c r="D14" s="3" t="n">
        <v>2.035</v>
      </c>
      <c r="E14" s="4" t="n">
        <v>8.359999999999999</v>
      </c>
      <c r="F14" s="2" t="n">
        <v>96.59999999999999</v>
      </c>
      <c r="G14" s="2" t="n">
        <v>141</v>
      </c>
      <c r="H14" s="3" t="n">
        <v>0.8</v>
      </c>
      <c r="I14" s="5" t="n">
        <v>1205</v>
      </c>
      <c r="J14" s="4" t="n">
        <v>0.7</v>
      </c>
    </row>
    <row r="15">
      <c r="A15" s="6" t="inlineStr">
        <is>
          <t>Interpolated</t>
        </is>
      </c>
      <c r="B15" s="7">
        <f>(B14+B16)/2</f>
        <v/>
      </c>
      <c r="C15" s="7">
        <f>C14+($B15-$B14)*(C16-C14)/($B16-$B14)</f>
        <v/>
      </c>
      <c r="D15" s="8">
        <f>D14+($B15-$B14)*(D16-D14)/($B16-$B14)</f>
        <v/>
      </c>
      <c r="E15" s="9">
        <f>E14+($B15-$B14)*(E16-E14)/($B16-$B14)</f>
        <v/>
      </c>
      <c r="F15" s="7">
        <f>F14+($B15-$B14)*(F16-F14)/($B16-$B14)</f>
        <v/>
      </c>
      <c r="G15" s="7">
        <f>G14+($B15-$B14)*(G16-G14)/($B16-$B14)</f>
        <v/>
      </c>
      <c r="H15" s="8">
        <f>H14+($B15-$B14)*(H16-H14)/($B16-$B14)</f>
        <v/>
      </c>
      <c r="I15" s="10">
        <f>I14+($B15-$B14)*(I16-I14)/($B16-$B14)</f>
        <v/>
      </c>
      <c r="J15" s="9">
        <f>J14+($B15-$B14)*(J16-J14)/($B16-$B14)</f>
        <v/>
      </c>
    </row>
    <row r="16">
      <c r="A16" t="inlineStr">
        <is>
          <t>Original</t>
        </is>
      </c>
      <c r="B16" s="2" t="n">
        <v>340</v>
      </c>
      <c r="C16" s="2" t="n">
        <v>859.9</v>
      </c>
      <c r="D16" s="3" t="n">
        <v>2.076</v>
      </c>
      <c r="E16" s="4" t="n">
        <v>5.31</v>
      </c>
      <c r="F16" s="2" t="n">
        <v>61.7</v>
      </c>
      <c r="G16" s="2" t="n">
        <v>139</v>
      </c>
      <c r="H16" s="3" t="n">
        <v>0.779</v>
      </c>
      <c r="I16" s="5" t="n">
        <v>793</v>
      </c>
      <c r="J16" s="4" t="n">
        <v>0.7</v>
      </c>
    </row>
    <row r="17">
      <c r="A17" s="6" t="inlineStr">
        <is>
          <t>Interpolated</t>
        </is>
      </c>
      <c r="B17" s="7">
        <f>(B16+B18)/2</f>
        <v/>
      </c>
      <c r="C17" s="7">
        <f>C16+($B17-$B16)*(C18-C16)/($B18-$B16)</f>
        <v/>
      </c>
      <c r="D17" s="8">
        <f>D16+($B17-$B16)*(D18-D16)/($B18-$B16)</f>
        <v/>
      </c>
      <c r="E17" s="9">
        <f>E16+($B17-$B16)*(E18-E16)/($B18-$B16)</f>
        <v/>
      </c>
      <c r="F17" s="7">
        <f>F16+($B17-$B16)*(F18-F16)/($B18-$B16)</f>
        <v/>
      </c>
      <c r="G17" s="7">
        <f>G16+($B17-$B16)*(G18-G16)/($B18-$B16)</f>
        <v/>
      </c>
      <c r="H17" s="8">
        <f>H16+($B17-$B16)*(H18-H16)/($B18-$B16)</f>
        <v/>
      </c>
      <c r="I17" s="10">
        <f>I16+($B17-$B16)*(I18-I16)/($B18-$B16)</f>
        <v/>
      </c>
      <c r="J17" s="9">
        <f>J16+($B17-$B16)*(J18-J16)/($B18-$B16)</f>
        <v/>
      </c>
    </row>
    <row r="18">
      <c r="A18" t="inlineStr">
        <is>
          <t>Original</t>
        </is>
      </c>
      <c r="B18" s="2" t="n">
        <v>350</v>
      </c>
      <c r="C18" s="2" t="n">
        <v>853.9</v>
      </c>
      <c r="D18" s="3" t="n">
        <v>2.118</v>
      </c>
      <c r="E18" s="4" t="n">
        <v>3.56</v>
      </c>
      <c r="F18" s="2" t="n">
        <v>41.7</v>
      </c>
      <c r="G18" s="2" t="n">
        <v>138</v>
      </c>
      <c r="H18" s="3" t="n">
        <v>0.763</v>
      </c>
      <c r="I18" s="5" t="n">
        <v>546</v>
      </c>
      <c r="J18" s="4" t="n">
        <v>0.7</v>
      </c>
    </row>
    <row r="19">
      <c r="A19" s="6" t="inlineStr">
        <is>
          <t>Interpolated</t>
        </is>
      </c>
      <c r="B19" s="7">
        <f>(B18+B20)/2</f>
        <v/>
      </c>
      <c r="C19" s="7">
        <f>C18+($B19-$B18)*(C20-C18)/($B20-$B18)</f>
        <v/>
      </c>
      <c r="D19" s="8">
        <f>D18+($B19-$B18)*(D20-D18)/($B20-$B18)</f>
        <v/>
      </c>
      <c r="E19" s="9">
        <f>E18+($B19-$B18)*(E20-E18)/($B20-$B18)</f>
        <v/>
      </c>
      <c r="F19" s="7">
        <f>F18+($B19-$B18)*(F20-F18)/($B20-$B18)</f>
        <v/>
      </c>
      <c r="G19" s="7">
        <f>G18+($B19-$B18)*(G20-G18)/($B20-$B18)</f>
        <v/>
      </c>
      <c r="H19" s="8">
        <f>H18+($B19-$B18)*(H20-H18)/($B20-$B18)</f>
        <v/>
      </c>
      <c r="I19" s="10">
        <f>I18+($B19-$B18)*(I20-I18)/($B20-$B18)</f>
        <v/>
      </c>
      <c r="J19" s="9">
        <f>J18+($B19-$B18)*(J20-J18)/($B20-$B18)</f>
        <v/>
      </c>
    </row>
    <row r="20">
      <c r="A20" t="inlineStr">
        <is>
          <t>Original</t>
        </is>
      </c>
      <c r="B20" s="2" t="n">
        <v>360</v>
      </c>
      <c r="C20" s="2" t="n">
        <v>847.8</v>
      </c>
      <c r="D20" s="3" t="n">
        <v>2.161</v>
      </c>
      <c r="E20" s="4" t="n">
        <v>2.52</v>
      </c>
      <c r="F20" s="2" t="n">
        <v>29.7</v>
      </c>
      <c r="G20" s="2" t="n">
        <v>138</v>
      </c>
      <c r="H20" s="3" t="n">
        <v>0.753</v>
      </c>
      <c r="I20" s="5" t="n">
        <v>395</v>
      </c>
      <c r="J20" s="4" t="n">
        <v>0.7</v>
      </c>
    </row>
    <row r="21">
      <c r="A21" s="6" t="inlineStr">
        <is>
          <t>Interpolated</t>
        </is>
      </c>
      <c r="B21" s="7">
        <f>(B20+B22)/2</f>
        <v/>
      </c>
      <c r="C21" s="7">
        <f>C20+($B21-$B20)*(C22-C20)/($B22-$B20)</f>
        <v/>
      </c>
      <c r="D21" s="8">
        <f>D20+($B21-$B20)*(D22-D20)/($B22-$B20)</f>
        <v/>
      </c>
      <c r="E21" s="9">
        <f>E20+($B21-$B20)*(E22-E20)/($B22-$B20)</f>
        <v/>
      </c>
      <c r="F21" s="7">
        <f>F20+($B21-$B20)*(F22-F20)/($B22-$B20)</f>
        <v/>
      </c>
      <c r="G21" s="7">
        <f>G20+($B21-$B20)*(G22-G20)/($B22-$B20)</f>
        <v/>
      </c>
      <c r="H21" s="8">
        <f>H20+($B21-$B20)*(H22-H20)/($B22-$B20)</f>
        <v/>
      </c>
      <c r="I21" s="10">
        <f>I20+($B21-$B20)*(I22-I20)/($B22-$B20)</f>
        <v/>
      </c>
      <c r="J21" s="9">
        <f>J20+($B21-$B20)*(J22-J20)/($B22-$B20)</f>
        <v/>
      </c>
    </row>
    <row r="22">
      <c r="A22" t="inlineStr">
        <is>
          <t>Original</t>
        </is>
      </c>
      <c r="B22" s="2" t="n">
        <v>370</v>
      </c>
      <c r="C22" s="2" t="n">
        <v>841.8</v>
      </c>
      <c r="D22" s="3" t="n">
        <v>2.206</v>
      </c>
      <c r="E22" s="4" t="n">
        <v>1.86</v>
      </c>
      <c r="F22" s="2" t="n">
        <v>22</v>
      </c>
      <c r="G22" s="2" t="n">
        <v>137</v>
      </c>
      <c r="H22" s="3" t="n">
        <v>0.738</v>
      </c>
      <c r="I22" s="5" t="n">
        <v>300</v>
      </c>
      <c r="J22" s="4" t="n">
        <v>0.7</v>
      </c>
    </row>
    <row r="23">
      <c r="A23" s="6" t="inlineStr">
        <is>
          <t>Interpolated</t>
        </is>
      </c>
      <c r="B23" s="7">
        <f>(B22+B24)/2</f>
        <v/>
      </c>
      <c r="C23" s="7">
        <f>C22+($B23-$B22)*(C24-C22)/($B24-$B22)</f>
        <v/>
      </c>
      <c r="D23" s="8">
        <f>D22+($B23-$B22)*(D24-D22)/($B24-$B22)</f>
        <v/>
      </c>
      <c r="E23" s="9">
        <f>E22+($B23-$B22)*(E24-E22)/($B24-$B22)</f>
        <v/>
      </c>
      <c r="F23" s="7">
        <f>F22+($B23-$B22)*(F24-F22)/($B24-$B22)</f>
        <v/>
      </c>
      <c r="G23" s="7">
        <f>G22+($B23-$B22)*(G24-G22)/($B24-$B22)</f>
        <v/>
      </c>
      <c r="H23" s="8">
        <f>H22+($B23-$B22)*(H24-H22)/($B24-$B22)</f>
        <v/>
      </c>
      <c r="I23" s="10">
        <f>I22+($B23-$B22)*(I24-I22)/($B24-$B22)</f>
        <v/>
      </c>
      <c r="J23" s="9">
        <f>J22+($B23-$B22)*(J24-J22)/($B24-$B22)</f>
        <v/>
      </c>
    </row>
    <row r="24">
      <c r="A24" t="inlineStr">
        <is>
          <t>Original</t>
        </is>
      </c>
      <c r="B24" s="2" t="n">
        <v>380</v>
      </c>
      <c r="C24" s="2" t="n">
        <v>836</v>
      </c>
      <c r="D24" s="3" t="n">
        <v>2.25</v>
      </c>
      <c r="E24" s="4" t="n">
        <v>1.41</v>
      </c>
      <c r="F24" s="2" t="n">
        <v>16.9</v>
      </c>
      <c r="G24" s="2" t="n">
        <v>136</v>
      </c>
      <c r="H24" s="3" t="n">
        <v>0.723</v>
      </c>
      <c r="I24" s="5" t="n">
        <v>233</v>
      </c>
      <c r="J24" s="4" t="n">
        <v>0.7</v>
      </c>
    </row>
    <row r="25">
      <c r="A25" s="6" t="inlineStr">
        <is>
          <t>Interpolated</t>
        </is>
      </c>
      <c r="B25" s="7">
        <f>(B24+B26)/2</f>
        <v/>
      </c>
      <c r="C25" s="7">
        <f>C24+($B25-$B24)*(C26-C24)/($B26-$B24)</f>
        <v/>
      </c>
      <c r="D25" s="8">
        <f>D24+($B25-$B24)*(D26-D24)/($B26-$B24)</f>
        <v/>
      </c>
      <c r="E25" s="9">
        <f>E24+($B25-$B24)*(E26-E24)/($B26-$B24)</f>
        <v/>
      </c>
      <c r="F25" s="7">
        <f>F24+($B25-$B24)*(F26-F24)/($B26-$B24)</f>
        <v/>
      </c>
      <c r="G25" s="7">
        <f>G24+($B25-$B24)*(G26-G24)/($B26-$B24)</f>
        <v/>
      </c>
      <c r="H25" s="8">
        <f>H24+($B25-$B24)*(H26-H24)/($B26-$B24)</f>
        <v/>
      </c>
      <c r="I25" s="10">
        <f>I24+($B25-$B24)*(I26-I24)/($B26-$B24)</f>
        <v/>
      </c>
      <c r="J25" s="9">
        <f>J24+($B25-$B24)*(J26-J24)/($B26-$B24)</f>
        <v/>
      </c>
    </row>
    <row r="26">
      <c r="A26" t="inlineStr">
        <is>
          <t>Original</t>
        </is>
      </c>
      <c r="B26" s="2" t="n">
        <v>390</v>
      </c>
      <c r="C26" s="2" t="n">
        <v>830.6</v>
      </c>
      <c r="D26" s="3" t="n">
        <v>2.294</v>
      </c>
      <c r="E26" s="4" t="n">
        <v>1.1</v>
      </c>
      <c r="F26" s="2" t="n">
        <v>13.3</v>
      </c>
      <c r="G26" s="2" t="n">
        <v>135</v>
      </c>
      <c r="H26" s="3" t="n">
        <v>0.709</v>
      </c>
      <c r="I26" s="5" t="n">
        <v>187</v>
      </c>
      <c r="J26" s="4" t="n">
        <v>0.7</v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2026-03-08T09:21:42Z</dcterms:created>
  <dcterms:modified xsi:type="dcterms:W3CDTF">2026-03-08T09:21:42Z</dcterms:modified>
</cp:coreProperties>
</file>